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\Usersa$\ajh287\Home\Desktop\PHD -progress\TA_25_26_summer\TA-26\fuels\Present\"/>
    </mc:Choice>
  </mc:AlternateContent>
  <xr:revisionPtr revIDLastSave="0" documentId="13_ncr:1_{2599DB7B-CB54-4151-A5DF-B808EDDEE6B9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Q1" sheetId="1" r:id="rId1"/>
    <sheet name="Q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B53" i="1"/>
  <c r="B52" i="1"/>
</calcChain>
</file>

<file path=xl/sharedStrings.xml><?xml version="1.0" encoding="utf-8"?>
<sst xmlns="http://schemas.openxmlformats.org/spreadsheetml/2006/main" count="112" uniqueCount="68">
  <si>
    <t>Input parameters</t>
  </si>
  <si>
    <t>Electrolyzer capacity_el</t>
  </si>
  <si>
    <t>MW</t>
  </si>
  <si>
    <t>Electrolyzer CAPEX</t>
  </si>
  <si>
    <t>$/kW</t>
  </si>
  <si>
    <t>H2 storage CAPEX</t>
  </si>
  <si>
    <t>M$</t>
  </si>
  <si>
    <t>Fixed O&amp;M</t>
  </si>
  <si>
    <t>Total CAPEX</t>
  </si>
  <si>
    <t>Lifetime</t>
  </si>
  <si>
    <t>Years</t>
  </si>
  <si>
    <t>Discount rate</t>
  </si>
  <si>
    <t>Electrolyzer efficiency</t>
  </si>
  <si>
    <t xml:space="preserve"> (LHV basis)</t>
  </si>
  <si>
    <t>Annual full-load operating hours</t>
  </si>
  <si>
    <t>h/years</t>
  </si>
  <si>
    <t>Electricity_price</t>
  </si>
  <si>
    <t>$/MWh</t>
  </si>
  <si>
    <t>Calculate total system CAPEX</t>
  </si>
  <si>
    <t>Total electrolyzer CAPEX</t>
  </si>
  <si>
    <t>$</t>
  </si>
  <si>
    <t>Total storage CAPEX</t>
  </si>
  <si>
    <t>Total system CAPEX</t>
  </si>
  <si>
    <t>Capital recovery factor</t>
  </si>
  <si>
    <t>Annualized CAPEX + Fix O&amp;M cost</t>
  </si>
  <si>
    <t>Annualized CAPEX</t>
  </si>
  <si>
    <t>Annualized O&amp;M cost</t>
  </si>
  <si>
    <t>Total costs</t>
  </si>
  <si>
    <t>Annual electricity costs</t>
  </si>
  <si>
    <t>Annual electricity consumption</t>
  </si>
  <si>
    <t>MWh</t>
  </si>
  <si>
    <t>Annual H2 production</t>
  </si>
  <si>
    <t>H2 production</t>
  </si>
  <si>
    <t>LCOH2</t>
  </si>
  <si>
    <t xml:space="preserve">LCOH2 </t>
  </si>
  <si>
    <t>$/kg</t>
  </si>
  <si>
    <t>Distribution of cost component</t>
  </si>
  <si>
    <t>CAPEX</t>
  </si>
  <si>
    <t>OPEX</t>
  </si>
  <si>
    <t>Elec</t>
  </si>
  <si>
    <t>%</t>
  </si>
  <si>
    <t>Parameter</t>
  </si>
  <si>
    <t>Methanol</t>
  </si>
  <si>
    <t>CAPEX ($/kW)</t>
  </si>
  <si>
    <t>Total plant CAPEX</t>
  </si>
  <si>
    <t>Fixed O&amp;M (% CAPEX/year)</t>
  </si>
  <si>
    <t>CO₂ price ($/tCO₂)</t>
  </si>
  <si>
    <t>Fuel LHV (MWh/ton)</t>
  </si>
  <si>
    <t>Operational hours</t>
  </si>
  <si>
    <t>Electricity prices ($/MWh)</t>
  </si>
  <si>
    <t>lifetime</t>
  </si>
  <si>
    <t>H2 cost ($/MWh)</t>
  </si>
  <si>
    <t>Annual H2 costs</t>
  </si>
  <si>
    <t>H2 costs</t>
  </si>
  <si>
    <t>Annual CO2 costs</t>
  </si>
  <si>
    <t>CO2</t>
  </si>
  <si>
    <t>Fuel costs</t>
  </si>
  <si>
    <t>Methanol costs</t>
  </si>
  <si>
    <t>Cost distribution</t>
  </si>
  <si>
    <t>elec</t>
  </si>
  <si>
    <t>H2</t>
  </si>
  <si>
    <t>kWh/kg</t>
  </si>
  <si>
    <t>Annualized (CAPEX + Fix O&amp;M cost)</t>
  </si>
  <si>
    <t>Values</t>
  </si>
  <si>
    <t>Plant capacity (MW_fuel)</t>
  </si>
  <si>
    <t>Electricity consumption (MWh/MWh_fuel)</t>
  </si>
  <si>
    <t>Hydrogen requirement (MWhH₂/MWh_fuel)</t>
  </si>
  <si>
    <t>CO₂ requirement (tCO₂/MWh_fuel)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</si>
</sst>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9" fontId="3" fillId="0" borderId="0" xfId="0" applyNumberFormat="1" applyFont="1"/>
    <xf numFmtId="43" fontId="3" fillId="0" borderId="0" xfId="0" applyNumberFormat="1" applyFont="1"/>
    <xf numFmtId="164" fontId="3" fillId="0" borderId="0" xfId="0" applyNumberFormat="1" applyFont="1"/>
    <xf numFmtId="0" fontId="3" fillId="2" borderId="0" xfId="0" applyFont="1" applyFill="1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vertical="center"/>
    </xf>
    <xf numFmtId="0" fontId="4" fillId="0" borderId="0" xfId="0" applyFont="1"/>
    <xf numFmtId="164" fontId="3" fillId="0" borderId="0" xfId="1" applyNumberFormat="1" applyFont="1" applyFill="1"/>
    <xf numFmtId="9" fontId="3" fillId="0" borderId="0" xfId="0" applyNumberFormat="1" applyFont="1" applyAlignment="1">
      <alignment horizontal="center" vertical="top" wrapText="1"/>
    </xf>
    <xf numFmtId="9" fontId="3" fillId="0" borderId="0" xfId="0" applyNumberFormat="1" applyFont="1" applyAlignment="1">
      <alignment horizontal="right" vertical="top" wrapText="1"/>
    </xf>
    <xf numFmtId="9" fontId="3" fillId="0" borderId="0" xfId="0" applyNumberFormat="1" applyFont="1" applyAlignment="1">
      <alignment horizontal="center"/>
    </xf>
    <xf numFmtId="0" fontId="3" fillId="5" borderId="0" xfId="0" applyFont="1" applyFill="1"/>
    <xf numFmtId="0" fontId="5" fillId="7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4" fillId="4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164" fontId="3" fillId="2" borderId="0" xfId="1" applyNumberFormat="1" applyFont="1" applyFill="1"/>
    <xf numFmtId="43" fontId="3" fillId="2" borderId="0" xfId="0" applyNumberFormat="1" applyFont="1" applyFill="1"/>
    <xf numFmtId="164" fontId="3" fillId="2" borderId="0" xfId="0" applyNumberFormat="1" applyFont="1" applyFill="1"/>
    <xf numFmtId="165" fontId="3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208280</xdr:colOff>
      <xdr:row>0</xdr:row>
      <xdr:rowOff>0</xdr:rowOff>
    </xdr:from>
    <xdr:to>
      <xdr:col>28</xdr:col>
      <xdr:colOff>54828</xdr:colOff>
      <xdr:row>34</xdr:row>
      <xdr:rowOff>112735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50B729-ABA0-40D6-B1DF-7A0C8055A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0505" y="0"/>
          <a:ext cx="8380948" cy="6008710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466726</xdr:colOff>
      <xdr:row>0</xdr:row>
      <xdr:rowOff>95251</xdr:rowOff>
    </xdr:from>
    <xdr:to>
      <xdr:col>9</xdr:col>
      <xdr:colOff>361951</xdr:colOff>
      <xdr:row>30</xdr:row>
      <xdr:rowOff>76469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756C57-E924-8FC3-1853-F7864A701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6" y="95251"/>
          <a:ext cx="6934200" cy="5410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268792</xdr:colOff>
      <xdr:row>0</xdr:row>
      <xdr:rowOff>0</xdr:rowOff>
    </xdr:from>
    <xdr:to>
      <xdr:col>20</xdr:col>
      <xdr:colOff>478934</xdr:colOff>
      <xdr:row>36</xdr:row>
      <xdr:rowOff>134327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86CF1B-6829-506A-3847-ACF3F80E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0196" y="0"/>
          <a:ext cx="12218064" cy="86319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st/09a%20Hydrogen%20Napkin%20math.xlsx" TargetMode="External"/><Relationship Id="rId2" Type="http://schemas.openxmlformats.org/officeDocument/2006/relationships/externalLinkPath" Target="file:///\\file\Usersa$\ajh287\Home\Desktop\PHD%20-progress\TA_25_26_summer\TA-26\fuels\Past\09a%20Hydrogen%20Napkin%20math.xlsx" TargetMode="External"/><Relationship Id="rId1" Type="http://schemas.openxmlformats.org/officeDocument/2006/relationships/externalLinkPath" Target="/ajh287/Home/Desktop/PHD%20-progress/TA_25_26_summer/TA-26/fuels/Past/09a%20Hydrogen%20Napkin%20m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LCOH"/>
      <sheetName val="Sheet3"/>
      <sheetName val="Rasul_1"/>
      <sheetName val="Rasul_2"/>
    </sheetNames>
    <sheetDataSet>
      <sheetData sheetId="0"/>
      <sheetData sheetId="1"/>
      <sheetData sheetId="2"/>
      <sheetData sheetId="3">
        <row r="72">
          <cell r="A72" t="str">
            <v>CAPEX</v>
          </cell>
          <cell r="B72">
            <v>0.34282772816894602</v>
          </cell>
        </row>
        <row r="73">
          <cell r="A73" t="str">
            <v>OPEX</v>
          </cell>
          <cell r="B73">
            <v>0.10895765507939269</v>
          </cell>
        </row>
        <row r="74">
          <cell r="A74" t="str">
            <v>Elec</v>
          </cell>
          <cell r="B74">
            <v>0.54821461675166128</v>
          </cell>
        </row>
      </sheetData>
      <sheetData sheetId="4">
        <row r="30">
          <cell r="G30" t="str">
            <v>CAPEX</v>
          </cell>
          <cell r="X30">
            <v>6.9521818127716974</v>
          </cell>
        </row>
        <row r="31">
          <cell r="G31" t="str">
            <v>OPEX</v>
          </cell>
          <cell r="X31">
            <v>3.4507964171961767</v>
          </cell>
        </row>
        <row r="32">
          <cell r="G32" t="str">
            <v>elec</v>
          </cell>
          <cell r="X32">
            <v>4.6010618895949023</v>
          </cell>
        </row>
        <row r="33">
          <cell r="G33" t="str">
            <v>H2</v>
          </cell>
          <cell r="X33">
            <v>67.741977794456332</v>
          </cell>
        </row>
        <row r="34">
          <cell r="G34" t="str">
            <v>CO2</v>
          </cell>
          <cell r="X34">
            <v>17.253982085980883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2:N74"/>
  <sheetViews>
    <sheetView workbookViewId="0">
      <selection activeCell="B72" sqref="B72:B74"/>
    </sheetView>
  </sheetViews>
  <sheetFormatPr defaultRowHeight="14.25" x14ac:dyDescent="0.2"/>
  <cols>
    <col min="1" max="1" width="23" style="1" customWidth="1"/>
    <col min="2" max="2" width="15.7109375" style="1" bestFit="1" customWidth="1"/>
    <col min="3" max="3" width="12" style="1" customWidth="1"/>
    <col min="4" max="16384" width="9.140625" style="1"/>
  </cols>
  <sheetData>
    <row r="32" spans="1:14" ht="18" x14ac:dyDescent="0.25">
      <c r="A32" s="26" t="s">
        <v>0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x14ac:dyDescent="0.2">
      <c r="A33" s="1" t="s">
        <v>1</v>
      </c>
      <c r="B33" s="1">
        <v>50</v>
      </c>
      <c r="C33" s="2" t="s">
        <v>2</v>
      </c>
    </row>
    <row r="34" spans="1:14" x14ac:dyDescent="0.2">
      <c r="A34" s="1" t="s">
        <v>3</v>
      </c>
      <c r="B34" s="1">
        <v>900</v>
      </c>
      <c r="C34" s="2" t="s">
        <v>4</v>
      </c>
    </row>
    <row r="35" spans="1:14" x14ac:dyDescent="0.2">
      <c r="A35" s="1" t="s">
        <v>5</v>
      </c>
      <c r="B35" s="1">
        <v>8</v>
      </c>
      <c r="C35" s="2" t="s">
        <v>6</v>
      </c>
    </row>
    <row r="36" spans="1:14" x14ac:dyDescent="0.2">
      <c r="A36" s="1" t="s">
        <v>7</v>
      </c>
      <c r="B36" s="3">
        <v>0.03</v>
      </c>
      <c r="C36" s="2" t="s">
        <v>8</v>
      </c>
    </row>
    <row r="37" spans="1:14" x14ac:dyDescent="0.2">
      <c r="A37" s="1" t="s">
        <v>9</v>
      </c>
      <c r="B37" s="1">
        <v>20</v>
      </c>
      <c r="C37" s="2" t="s">
        <v>10</v>
      </c>
    </row>
    <row r="38" spans="1:14" x14ac:dyDescent="0.2">
      <c r="A38" s="1" t="s">
        <v>11</v>
      </c>
      <c r="B38" s="3">
        <v>7.0000000000000007E-2</v>
      </c>
      <c r="C38" s="2"/>
    </row>
    <row r="39" spans="1:14" x14ac:dyDescent="0.2">
      <c r="A39" s="1" t="s">
        <v>12</v>
      </c>
      <c r="B39" s="3">
        <v>0.7</v>
      </c>
      <c r="C39" s="2" t="s">
        <v>13</v>
      </c>
    </row>
    <row r="40" spans="1:14" x14ac:dyDescent="0.2">
      <c r="A40" s="1" t="s">
        <v>14</v>
      </c>
      <c r="B40" s="1">
        <v>4000</v>
      </c>
      <c r="C40" s="2" t="s">
        <v>15</v>
      </c>
    </row>
    <row r="41" spans="1:14" x14ac:dyDescent="0.2">
      <c r="A41" s="1" t="s">
        <v>16</v>
      </c>
      <c r="B41" s="1">
        <v>40</v>
      </c>
      <c r="C41" s="2" t="s">
        <v>17</v>
      </c>
    </row>
    <row r="43" spans="1:14" ht="15.75" x14ac:dyDescent="0.25">
      <c r="A43" s="27" t="s">
        <v>18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 spans="1:14" x14ac:dyDescent="0.2">
      <c r="A44" s="1" t="s">
        <v>19</v>
      </c>
      <c r="B44" s="28"/>
      <c r="C44" s="1" t="s">
        <v>20</v>
      </c>
    </row>
    <row r="45" spans="1:14" x14ac:dyDescent="0.2">
      <c r="A45" s="1" t="s">
        <v>21</v>
      </c>
      <c r="B45" s="28"/>
      <c r="C45" s="1" t="s">
        <v>20</v>
      </c>
    </row>
    <row r="46" spans="1:14" x14ac:dyDescent="0.2">
      <c r="A46" s="1" t="s">
        <v>22</v>
      </c>
      <c r="B46" s="28"/>
      <c r="C46" s="1" t="s">
        <v>20</v>
      </c>
    </row>
    <row r="48" spans="1:14" ht="15.75" x14ac:dyDescent="0.25">
      <c r="A48" s="27" t="s">
        <v>23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spans="1:14" x14ac:dyDescent="0.2">
      <c r="A49" s="1" t="s">
        <v>23</v>
      </c>
      <c r="B49" s="6"/>
    </row>
    <row r="51" spans="1:14" ht="15.75" x14ac:dyDescent="0.25">
      <c r="A51" s="27" t="s">
        <v>62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spans="1:14" x14ac:dyDescent="0.2">
      <c r="A52" s="1" t="s">
        <v>25</v>
      </c>
      <c r="B52" s="29">
        <f>B49 *B46</f>
        <v>0</v>
      </c>
      <c r="C52" s="1" t="s">
        <v>20</v>
      </c>
    </row>
    <row r="53" spans="1:14" x14ac:dyDescent="0.2">
      <c r="A53" s="1" t="s">
        <v>26</v>
      </c>
      <c r="B53" s="30">
        <f>B46 * B36</f>
        <v>0</v>
      </c>
      <c r="C53" s="1" t="s">
        <v>20</v>
      </c>
    </row>
    <row r="54" spans="1:14" x14ac:dyDescent="0.2">
      <c r="A54" s="1" t="s">
        <v>27</v>
      </c>
      <c r="B54" s="6"/>
      <c r="C54" s="1" t="s">
        <v>20</v>
      </c>
    </row>
    <row r="56" spans="1:14" ht="15.75" x14ac:dyDescent="0.25">
      <c r="A56" s="27" t="s">
        <v>28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spans="1:14" x14ac:dyDescent="0.2">
      <c r="A57" s="1" t="s">
        <v>29</v>
      </c>
      <c r="B57" s="6"/>
      <c r="C57" s="1" t="s">
        <v>30</v>
      </c>
    </row>
    <row r="58" spans="1:14" x14ac:dyDescent="0.2">
      <c r="A58" s="1" t="s">
        <v>28</v>
      </c>
      <c r="B58" s="6"/>
      <c r="C58" s="1" t="s">
        <v>20</v>
      </c>
    </row>
    <row r="60" spans="1:14" ht="15.75" x14ac:dyDescent="0.25">
      <c r="A60" s="27" t="s">
        <v>31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spans="1:14" x14ac:dyDescent="0.2">
      <c r="A61" s="1" t="s">
        <v>32</v>
      </c>
      <c r="B61" s="6"/>
      <c r="C61" s="1" t="s">
        <v>30</v>
      </c>
    </row>
    <row r="63" spans="1:14" ht="15" x14ac:dyDescent="0.25">
      <c r="A63" s="25" t="s">
        <v>33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 x14ac:dyDescent="0.2">
      <c r="A64" s="1" t="s">
        <v>34</v>
      </c>
      <c r="B64" s="6"/>
      <c r="C64" s="1" t="s">
        <v>17</v>
      </c>
    </row>
    <row r="65" spans="1:14" x14ac:dyDescent="0.2">
      <c r="A65" s="1" t="s">
        <v>33</v>
      </c>
      <c r="B65" s="6"/>
      <c r="C65" s="1" t="s">
        <v>35</v>
      </c>
      <c r="D65" s="6">
        <v>33.299999999999997</v>
      </c>
      <c r="E65" s="1" t="s">
        <v>61</v>
      </c>
    </row>
    <row r="67" spans="1:14" ht="15" x14ac:dyDescent="0.25">
      <c r="A67" s="25" t="s">
        <v>36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x14ac:dyDescent="0.2">
      <c r="B68" s="4"/>
    </row>
    <row r="72" spans="1:14" x14ac:dyDescent="0.2">
      <c r="A72" s="1" t="s">
        <v>37</v>
      </c>
      <c r="B72" s="31"/>
      <c r="C72" s="1" t="s">
        <v>40</v>
      </c>
      <c r="D72" s="4"/>
    </row>
    <row r="73" spans="1:14" x14ac:dyDescent="0.2">
      <c r="A73" s="1" t="s">
        <v>38</v>
      </c>
      <c r="B73" s="31"/>
      <c r="C73" s="1" t="s">
        <v>40</v>
      </c>
      <c r="D73" s="4"/>
    </row>
    <row r="74" spans="1:14" x14ac:dyDescent="0.2">
      <c r="A74" s="1" t="s">
        <v>39</v>
      </c>
      <c r="B74" s="31"/>
      <c r="C74" s="1" t="s">
        <v>40</v>
      </c>
    </row>
  </sheetData>
  <mergeCells count="8">
    <mergeCell ref="A63:N63"/>
    <mergeCell ref="A67:N67"/>
    <mergeCell ref="A32:N32"/>
    <mergeCell ref="A43:N43"/>
    <mergeCell ref="A48:N48"/>
    <mergeCell ref="A51:N51"/>
    <mergeCell ref="A56:N56"/>
    <mergeCell ref="A60:N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D55F-6B92-4229-9886-BC10BAF5D3E4}">
  <dimension ref="A1:AX36"/>
  <sheetViews>
    <sheetView tabSelected="1" zoomScale="89" zoomScaleNormal="89" workbookViewId="0">
      <selection activeCell="C21" sqref="C21"/>
    </sheetView>
  </sheetViews>
  <sheetFormatPr defaultRowHeight="14.25" x14ac:dyDescent="0.2"/>
  <cols>
    <col min="1" max="1" width="26.7109375" style="1" customWidth="1"/>
    <col min="2" max="2" width="15.5703125" style="1" customWidth="1"/>
    <col min="3" max="3" width="15.28515625" style="1" customWidth="1"/>
    <col min="4" max="4" width="20.7109375" style="1" customWidth="1"/>
    <col min="5" max="6" width="9.140625" style="1"/>
    <col min="7" max="7" width="22.28515625" style="1" customWidth="1"/>
    <col min="8" max="8" width="12.85546875" style="1" bestFit="1" customWidth="1"/>
    <col min="9" max="20" width="8.85546875" style="1"/>
    <col min="21" max="21" width="9.140625" style="1"/>
    <col min="22" max="22" width="30.85546875" style="1" customWidth="1"/>
    <col min="23" max="23" width="25.140625" style="1" customWidth="1"/>
    <col min="24" max="36" width="9.140625" style="1"/>
    <col min="37" max="37" width="23.140625" style="1" customWidth="1"/>
    <col min="38" max="38" width="13.85546875" style="1" bestFit="1" customWidth="1"/>
    <col min="39" max="50" width="8.85546875" style="1"/>
    <col min="51" max="16384" width="9.140625" style="1"/>
  </cols>
  <sheetData>
    <row r="1" spans="1:50" ht="15" x14ac:dyDescent="0.25">
      <c r="A1" s="21" t="s">
        <v>41</v>
      </c>
      <c r="B1" s="21"/>
      <c r="C1" s="18" t="s">
        <v>63</v>
      </c>
      <c r="D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V1" s="24" t="s">
        <v>42</v>
      </c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28.9" customHeight="1" x14ac:dyDescent="0.25">
      <c r="A2" s="19" t="s">
        <v>64</v>
      </c>
      <c r="B2" s="19"/>
      <c r="C2" s="9">
        <v>100</v>
      </c>
      <c r="D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V2" s="23" t="s">
        <v>18</v>
      </c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">
      <c r="A3" s="19" t="s">
        <v>43</v>
      </c>
      <c r="B3" s="19"/>
      <c r="C3" s="9">
        <v>900</v>
      </c>
      <c r="D3" s="10"/>
      <c r="H3" s="13"/>
      <c r="V3" s="1" t="s">
        <v>44</v>
      </c>
      <c r="W3" s="28"/>
      <c r="X3" s="1" t="s">
        <v>20</v>
      </c>
      <c r="AL3" s="13"/>
    </row>
    <row r="4" spans="1:50" ht="28.9" customHeight="1" x14ac:dyDescent="0.2">
      <c r="A4" s="19" t="s">
        <v>45</v>
      </c>
      <c r="B4" s="19"/>
      <c r="C4" s="14">
        <v>0.04</v>
      </c>
      <c r="D4" s="15"/>
      <c r="H4" s="13"/>
      <c r="V4" s="1" t="s">
        <v>21</v>
      </c>
      <c r="W4" s="28"/>
      <c r="X4" s="1" t="s">
        <v>20</v>
      </c>
      <c r="AL4" s="13"/>
    </row>
    <row r="5" spans="1:50" ht="43.15" customHeight="1" x14ac:dyDescent="0.2">
      <c r="A5" s="19" t="s">
        <v>65</v>
      </c>
      <c r="B5" s="19"/>
      <c r="C5" s="9">
        <v>0.03</v>
      </c>
      <c r="D5" s="10"/>
      <c r="H5" s="13"/>
      <c r="V5" s="1" t="s">
        <v>22</v>
      </c>
      <c r="W5" s="28"/>
      <c r="X5" s="1" t="s">
        <v>20</v>
      </c>
      <c r="AL5" s="13"/>
    </row>
    <row r="6" spans="1:50" ht="57.6" customHeight="1" x14ac:dyDescent="0.2">
      <c r="A6" s="19" t="s">
        <v>66</v>
      </c>
      <c r="B6" s="19"/>
      <c r="C6" s="9">
        <v>1.1299999999999999</v>
      </c>
      <c r="D6" s="10"/>
    </row>
    <row r="7" spans="1:50" ht="28.9" customHeight="1" x14ac:dyDescent="0.25">
      <c r="A7" s="19" t="s">
        <v>67</v>
      </c>
      <c r="B7" s="19"/>
      <c r="C7" s="9">
        <v>0.25</v>
      </c>
      <c r="D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V7" s="23" t="s">
        <v>23</v>
      </c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x14ac:dyDescent="0.2">
      <c r="A8" s="19" t="s">
        <v>46</v>
      </c>
      <c r="B8" s="19"/>
      <c r="C8" s="9">
        <v>120</v>
      </c>
      <c r="D8" s="10"/>
      <c r="V8" s="1" t="s">
        <v>23</v>
      </c>
    </row>
    <row r="9" spans="1:50" ht="28.9" customHeight="1" x14ac:dyDescent="0.2">
      <c r="A9" s="19" t="s">
        <v>47</v>
      </c>
      <c r="B9" s="19"/>
      <c r="C9" s="9">
        <v>5.54</v>
      </c>
      <c r="D9" s="10"/>
    </row>
    <row r="10" spans="1:50" ht="15.75" x14ac:dyDescent="0.25">
      <c r="A10" s="19" t="s">
        <v>48</v>
      </c>
      <c r="B10" s="19"/>
      <c r="C10" s="9">
        <v>8000</v>
      </c>
      <c r="D10" s="10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V10" s="20" t="s">
        <v>24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ht="28.9" customHeight="1" x14ac:dyDescent="0.2">
      <c r="A11" s="19" t="s">
        <v>49</v>
      </c>
      <c r="B11" s="19"/>
      <c r="C11" s="9">
        <v>40</v>
      </c>
      <c r="D11" s="10"/>
      <c r="H11" s="4"/>
      <c r="V11" s="1" t="s">
        <v>25</v>
      </c>
      <c r="W11" s="29"/>
      <c r="X11" s="1" t="s">
        <v>20</v>
      </c>
      <c r="AL11" s="4"/>
    </row>
    <row r="12" spans="1:50" x14ac:dyDescent="0.2">
      <c r="A12" s="19" t="s">
        <v>11</v>
      </c>
      <c r="B12" s="19"/>
      <c r="C12" s="16">
        <v>7.0000000000000007E-2</v>
      </c>
      <c r="D12" s="3"/>
      <c r="H12" s="5"/>
      <c r="V12" s="1" t="s">
        <v>26</v>
      </c>
      <c r="W12" s="30"/>
      <c r="X12" s="1" t="s">
        <v>20</v>
      </c>
      <c r="AL12" s="5"/>
    </row>
    <row r="13" spans="1:50" x14ac:dyDescent="0.2">
      <c r="A13" s="19" t="s">
        <v>50</v>
      </c>
      <c r="B13" s="19"/>
      <c r="C13" s="9">
        <v>30</v>
      </c>
      <c r="D13" s="10"/>
      <c r="V13" s="1" t="s">
        <v>27</v>
      </c>
      <c r="W13" s="29"/>
      <c r="X13" s="1" t="s">
        <v>20</v>
      </c>
      <c r="AL13" s="4"/>
    </row>
    <row r="14" spans="1:50" x14ac:dyDescent="0.2">
      <c r="A14" s="19" t="s">
        <v>51</v>
      </c>
      <c r="B14" s="19"/>
      <c r="C14" s="9">
        <f>'Q1'!B64</f>
        <v>0</v>
      </c>
      <c r="D14" s="10"/>
    </row>
    <row r="15" spans="1:50" ht="15.75" x14ac:dyDescent="0.25"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V15" s="20" t="s">
        <v>28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">
      <c r="V16" s="1" t="s">
        <v>29</v>
      </c>
      <c r="W16" s="6"/>
      <c r="X16" s="1" t="s">
        <v>30</v>
      </c>
    </row>
    <row r="17" spans="7:50" x14ac:dyDescent="0.2">
      <c r="V17" s="1" t="s">
        <v>28</v>
      </c>
      <c r="W17" s="6"/>
      <c r="X17" s="1" t="s">
        <v>20</v>
      </c>
    </row>
    <row r="19" spans="7:50" ht="15.75" x14ac:dyDescent="0.25"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V19" s="20" t="s">
        <v>52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7:50" x14ac:dyDescent="0.2">
      <c r="V20" s="1" t="s">
        <v>53</v>
      </c>
      <c r="W20" s="6"/>
      <c r="X20" s="1" t="s">
        <v>30</v>
      </c>
    </row>
    <row r="22" spans="7:50" ht="15" x14ac:dyDescent="0.25"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V22" s="22" t="s">
        <v>54</v>
      </c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7:50" x14ac:dyDescent="0.2">
      <c r="V23" s="1" t="s">
        <v>55</v>
      </c>
      <c r="W23" s="6"/>
      <c r="X23" s="1" t="s">
        <v>17</v>
      </c>
    </row>
    <row r="26" spans="7:50" ht="15.75" x14ac:dyDescent="0.25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V26" s="20" t="s">
        <v>56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7:50" x14ac:dyDescent="0.2">
      <c r="V27" s="1" t="s">
        <v>57</v>
      </c>
      <c r="W27" s="29"/>
      <c r="X27" s="1" t="s">
        <v>17</v>
      </c>
      <c r="AL27" s="4"/>
    </row>
    <row r="29" spans="7:50" ht="15.75" x14ac:dyDescent="0.25"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V29" s="20" t="s">
        <v>58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7:50" x14ac:dyDescent="0.2">
      <c r="H30" s="4"/>
      <c r="I30" s="4"/>
      <c r="V30" s="17" t="s">
        <v>37</v>
      </c>
      <c r="W30" s="4"/>
      <c r="X30" s="29"/>
      <c r="Y30" s="1" t="s">
        <v>40</v>
      </c>
      <c r="AL30" s="4"/>
      <c r="AM30" s="4"/>
    </row>
    <row r="31" spans="7:50" x14ac:dyDescent="0.2">
      <c r="H31" s="4"/>
      <c r="I31" s="4"/>
      <c r="V31" s="17" t="s">
        <v>38</v>
      </c>
      <c r="W31" s="4"/>
      <c r="X31" s="29"/>
      <c r="Y31" s="1" t="s">
        <v>40</v>
      </c>
      <c r="AL31" s="4"/>
      <c r="AM31" s="4"/>
    </row>
    <row r="32" spans="7:50" x14ac:dyDescent="0.2">
      <c r="I32" s="4"/>
      <c r="V32" s="17" t="s">
        <v>59</v>
      </c>
      <c r="X32" s="29"/>
      <c r="Y32" s="1" t="s">
        <v>40</v>
      </c>
      <c r="AM32" s="4"/>
    </row>
    <row r="33" spans="9:39" x14ac:dyDescent="0.2">
      <c r="I33" s="4"/>
      <c r="V33" s="17" t="s">
        <v>60</v>
      </c>
      <c r="X33" s="29"/>
      <c r="Y33" s="1" t="s">
        <v>40</v>
      </c>
      <c r="AM33" s="4"/>
    </row>
    <row r="34" spans="9:39" x14ac:dyDescent="0.2">
      <c r="I34" s="4"/>
      <c r="V34" s="17" t="s">
        <v>55</v>
      </c>
      <c r="X34" s="29"/>
      <c r="Y34" s="1" t="s">
        <v>40</v>
      </c>
      <c r="AM34" s="4"/>
    </row>
    <row r="36" spans="9:39" x14ac:dyDescent="0.2">
      <c r="I36" s="4"/>
    </row>
  </sheetData>
  <mergeCells count="23">
    <mergeCell ref="V29:AI29"/>
    <mergeCell ref="A1:B1"/>
    <mergeCell ref="A2:B2"/>
    <mergeCell ref="A3:B3"/>
    <mergeCell ref="A4:B4"/>
    <mergeCell ref="A5:B5"/>
    <mergeCell ref="A6:B6"/>
    <mergeCell ref="A7:B7"/>
    <mergeCell ref="V22:AI22"/>
    <mergeCell ref="V26:AI26"/>
    <mergeCell ref="V15:AI15"/>
    <mergeCell ref="V19:AI19"/>
    <mergeCell ref="V7:AI7"/>
    <mergeCell ref="V10:AI10"/>
    <mergeCell ref="V1:AI1"/>
    <mergeCell ref="V2:AI2"/>
    <mergeCell ref="A14:B14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Jyoti Handique</cp:lastModifiedBy>
  <dcterms:created xsi:type="dcterms:W3CDTF">2015-06-05T18:17:20Z</dcterms:created>
  <dcterms:modified xsi:type="dcterms:W3CDTF">2026-05-20T01:35:15Z</dcterms:modified>
</cp:coreProperties>
</file>